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nel_total" sheetId="1" state="visible" r:id="rId3"/>
    <sheet name="checkout_steps" sheetId="2" state="visible" r:id="rId4"/>
    <sheet name="device" sheetId="3" state="visible" r:id="rId5"/>
    <sheet name="channel" sheetId="4" state="visible" r:id="rId6"/>
    <sheet name="retention" sheetId="5" state="visible" r:id="rId7"/>
    <sheet name="segments" sheetId="6" state="visible" r:id="rId8"/>
    <sheet name="READM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<sst xmlns="http://schemas.openxmlformats.org/spreadsheetml/2006/main" count="138" uniqueCount="60">
  <si>
    <t xml:space="preserve">step_order</t>
  </si>
  <si>
    <t xml:space="preserve">step</t>
  </si>
  <si>
    <t xml:space="preserve">sessions</t>
  </si>
  <si>
    <t xml:space="preserve">pct_of_previous_step</t>
  </si>
  <si>
    <t xml:space="preserve">1. Sessions</t>
  </si>
  <si>
    <t xml:space="preserve">2. Viewed product</t>
  </si>
  <si>
    <t xml:space="preserve">3. Added to cart</t>
  </si>
  <si>
    <t xml:space="preserve">4. Began checkout</t>
  </si>
  <si>
    <t xml:space="preserve">5. Purchased</t>
  </si>
  <si>
    <t xml:space="preserve">1. Began checkout</t>
  </si>
  <si>
    <t xml:space="preserve">2. Added shipping info</t>
  </si>
  <si>
    <t xml:space="preserve">3. Added payment info</t>
  </si>
  <si>
    <t xml:space="preserve">4. Purchased</t>
  </si>
  <si>
    <t xml:space="preserve">device</t>
  </si>
  <si>
    <t xml:space="preserve">viewed_item</t>
  </si>
  <si>
    <t xml:space="preserve">added_to_cart</t>
  </si>
  <si>
    <t xml:space="preserve">began_checkout</t>
  </si>
  <si>
    <t xml:space="preserve">purchased</t>
  </si>
  <si>
    <t xml:space="preserve">conversion_rate</t>
  </si>
  <si>
    <t xml:space="preserve">checkout_to_purchase</t>
  </si>
  <si>
    <t xml:space="preserve">desktop</t>
  </si>
  <si>
    <t xml:space="preserve">mobile</t>
  </si>
  <si>
    <t xml:space="preserve">tablet</t>
  </si>
  <si>
    <t xml:space="preserve">channel</t>
  </si>
  <si>
    <t xml:space="preserve">Organic</t>
  </si>
  <si>
    <t xml:space="preserve">Referral</t>
  </si>
  <si>
    <t xml:space="preserve">Direct (none)</t>
  </si>
  <si>
    <t xml:space="preserve">CPC (paid search)</t>
  </si>
  <si>
    <t xml:space="preserve">Other</t>
  </si>
  <si>
    <t xml:space="preserve">cohort_week</t>
  </si>
  <si>
    <t xml:space="preserve">week_0_users</t>
  </si>
  <si>
    <t xml:space="preserve">week</t>
  </si>
  <si>
    <t xml:space="preserve">active_users</t>
  </si>
  <si>
    <t xml:space="preserve">retention_rate</t>
  </si>
  <si>
    <t xml:space="preserve">2020-11-01</t>
  </si>
  <si>
    <t xml:space="preserve">2020-11-08</t>
  </si>
  <si>
    <t xml:space="preserve">2020-11-15</t>
  </si>
  <si>
    <t xml:space="preserve">2020-11-22</t>
  </si>
  <si>
    <t xml:space="preserve">2020-11-29</t>
  </si>
  <si>
    <t xml:space="preserve">2020-12-06</t>
  </si>
  <si>
    <t xml:space="preserve">2020-12-13</t>
  </si>
  <si>
    <t xml:space="preserve">2020-12-20</t>
  </si>
  <si>
    <t xml:space="preserve">2020-12-27</t>
  </si>
  <si>
    <t xml:space="preserve">2021-01-03</t>
  </si>
  <si>
    <t xml:space="preserve">2021-01-10</t>
  </si>
  <si>
    <t xml:space="preserve">2021-01-17</t>
  </si>
  <si>
    <t xml:space="preserve">segment_order</t>
  </si>
  <si>
    <t xml:space="preserve">segment</t>
  </si>
  <si>
    <t xml:space="preserve">users</t>
  </si>
  <si>
    <t xml:space="preserve">share_of_users</t>
  </si>
  <si>
    <t xml:space="preserve">No product view</t>
  </si>
  <si>
    <t xml:space="preserve">Browsers (viewed, no cart)</t>
  </si>
  <si>
    <t xml:space="preserve">Cart abandoners</t>
  </si>
  <si>
    <t xml:space="preserve">Buyers</t>
  </si>
  <si>
    <t xml:space="preserve">Dashboard data for the E-commerce Funnel Case Study (personal project, public GA4 sample data)</t>
  </si>
  <si>
    <t xml:space="preserve">Source: bigquery-public-data.ga4_obfuscated_sample_ecommerce, 1 Nov 2020 to 31 Jan 2021. Counts come from the user's own BigQuery queries; rates are formulas.</t>
  </si>
  <si>
    <t xml:space="preserve">channel: excludes the masked '(data deleted)' group (21,462 sessions, about 6% of the total) because it cannot be read as a real channel. Channel is the user's first acquisition medium.</t>
  </si>
  <si>
    <t xml:space="preserve">retention: long format, one row per cohort and week; the 24 Jan 2021 cohort has no follow-up week and is left out.</t>
  </si>
  <si>
    <t xml:space="preserve">segments: user-level, each user counted once at the furthest stage reached.</t>
  </si>
  <si>
    <t xml:space="preserve">Do not connect this README tab to the dashboard.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</si>
</sst>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%"/>
    <numFmt numFmtId="167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2" t="s">
        <v>4</v>
      </c>
      <c r="C2" s="2" t="n">
        <v>354857</v>
      </c>
      <c r="D2" s="3"/>
    </row>
    <row r="3" customFormat="false" ht="15" hidden="false" customHeight="false" outlineLevel="0" collapsed="false">
      <c r="A3" s="2" t="n">
        <v>2</v>
      </c>
      <c r="B3" s="2" t="s">
        <v>5</v>
      </c>
      <c r="C3" s="2" t="n">
        <v>77020</v>
      </c>
      <c r="D3" s="3" t="n">
        <f aca="false">C3/C2</f>
        <v>0.217045175944113</v>
      </c>
    </row>
    <row r="4" customFormat="false" ht="15" hidden="false" customHeight="false" outlineLevel="0" collapsed="false">
      <c r="A4" s="2" t="n">
        <v>3</v>
      </c>
      <c r="B4" s="2" t="s">
        <v>6</v>
      </c>
      <c r="C4" s="2" t="n">
        <v>15188</v>
      </c>
      <c r="D4" s="3" t="n">
        <f aca="false">C4/C3</f>
        <v>0.197195533627629</v>
      </c>
    </row>
    <row r="5" customFormat="false" ht="15" hidden="false" customHeight="false" outlineLevel="0" collapsed="false">
      <c r="A5" s="2" t="n">
        <v>4</v>
      </c>
      <c r="B5" s="2" t="s">
        <v>7</v>
      </c>
      <c r="C5" s="2" t="n">
        <v>11106</v>
      </c>
      <c r="D5" s="3" t="n">
        <f aca="false">C5/C4</f>
        <v>0.7312351856729</v>
      </c>
    </row>
    <row r="6" customFormat="false" ht="15" hidden="false" customHeight="false" outlineLevel="0" collapsed="false">
      <c r="A6" s="2" t="n">
        <v>5</v>
      </c>
      <c r="B6" s="2" t="s">
        <v>8</v>
      </c>
      <c r="C6" s="2" t="n">
        <v>4848</v>
      </c>
      <c r="D6" s="3" t="n">
        <f aca="false">C6/C5</f>
        <v>0.436520799567801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2" t="s">
        <v>9</v>
      </c>
      <c r="C2" s="2" t="n">
        <v>11106</v>
      </c>
      <c r="D2" s="3"/>
    </row>
    <row r="3" customFormat="false" ht="15" hidden="false" customHeight="false" outlineLevel="0" collapsed="false">
      <c r="A3" s="2" t="n">
        <v>2</v>
      </c>
      <c r="B3" s="2" t="s">
        <v>10</v>
      </c>
      <c r="C3" s="2" t="n">
        <v>11105</v>
      </c>
      <c r="D3" s="3" t="n">
        <f aca="false">C3/C2</f>
        <v>0.999909958580947</v>
      </c>
    </row>
    <row r="4" customFormat="false" ht="15" hidden="false" customHeight="false" outlineLevel="0" collapsed="false">
      <c r="A4" s="2" t="n">
        <v>3</v>
      </c>
      <c r="B4" s="2" t="s">
        <v>11</v>
      </c>
      <c r="C4" s="2" t="n">
        <v>6815</v>
      </c>
      <c r="D4" s="3" t="n">
        <f aca="false">C4/C3</f>
        <v>0.613687528140477</v>
      </c>
    </row>
    <row r="5" customFormat="false" ht="15" hidden="false" customHeight="false" outlineLevel="0" collapsed="false">
      <c r="A5" s="2" t="n">
        <v>4</v>
      </c>
      <c r="B5" s="2" t="s">
        <v>12</v>
      </c>
      <c r="C5" s="2" t="n">
        <v>4848</v>
      </c>
      <c r="D5" s="3" t="n">
        <f aca="false">C5/C4</f>
        <v>0.711371973587674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9"/>
    <col collapsed="false" customWidth="true" hidden="false" outlineLevel="0" max="8" min="8" style="0" width="24"/>
  </cols>
  <sheetData>
    <row r="1" customFormat="false" ht="15" hidden="false" customHeight="false" outlineLevel="0" collapsed="false">
      <c r="A1" s="1" t="s">
        <v>13</v>
      </c>
      <c r="B1" s="1" t="s">
        <v>2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customFormat="false" ht="15" hidden="false" customHeight="false" outlineLevel="0" collapsed="false">
      <c r="A2" s="2" t="s">
        <v>20</v>
      </c>
      <c r="B2" s="2" t="n">
        <v>205899</v>
      </c>
      <c r="C2" s="2" t="n">
        <v>44819</v>
      </c>
      <c r="D2" s="2" t="n">
        <v>8790</v>
      </c>
      <c r="E2" s="2" t="n">
        <v>6392</v>
      </c>
      <c r="F2" s="2" t="n">
        <v>2749</v>
      </c>
      <c r="G2" s="4" t="n">
        <f aca="false">F2/B2</f>
        <v>0.0133512061739008</v>
      </c>
      <c r="H2" s="3" t="n">
        <f aca="false">F2/E2</f>
        <v>0.430068836045056</v>
      </c>
    </row>
    <row r="3" customFormat="false" ht="15" hidden="false" customHeight="false" outlineLevel="0" collapsed="false">
      <c r="A3" s="2" t="s">
        <v>21</v>
      </c>
      <c r="B3" s="2" t="n">
        <v>141079</v>
      </c>
      <c r="C3" s="2" t="n">
        <v>30501</v>
      </c>
      <c r="D3" s="2" t="n">
        <v>6077</v>
      </c>
      <c r="E3" s="2" t="n">
        <v>4474</v>
      </c>
      <c r="F3" s="2" t="n">
        <v>1995</v>
      </c>
      <c r="G3" s="4" t="n">
        <f aca="false">F3/B3</f>
        <v>0.0141410131911908</v>
      </c>
      <c r="H3" s="3" t="n">
        <f aca="false">F3/E3</f>
        <v>0.44590970049173</v>
      </c>
    </row>
    <row r="4" customFormat="false" ht="15" hidden="false" customHeight="false" outlineLevel="0" collapsed="false">
      <c r="A4" s="2" t="s">
        <v>22</v>
      </c>
      <c r="B4" s="2" t="n">
        <v>7879</v>
      </c>
      <c r="C4" s="2" t="n">
        <v>1700</v>
      </c>
      <c r="D4" s="2" t="n">
        <v>321</v>
      </c>
      <c r="E4" s="2" t="n">
        <v>240</v>
      </c>
      <c r="F4" s="2" t="n">
        <v>104</v>
      </c>
      <c r="G4" s="4" t="n">
        <f aca="false">F4/B4</f>
        <v>0.0131996446249524</v>
      </c>
      <c r="H4" s="3" t="n">
        <f aca="false">F4/E4</f>
        <v>0.433333333333333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9"/>
    <col collapsed="false" customWidth="true" hidden="false" outlineLevel="0" max="8" min="8" style="0" width="24"/>
  </cols>
  <sheetData>
    <row r="1" customFormat="false" ht="15" hidden="false" customHeight="false" outlineLevel="0" collapsed="false">
      <c r="A1" s="1" t="s">
        <v>23</v>
      </c>
      <c r="B1" s="1" t="s">
        <v>2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customFormat="false" ht="15" hidden="false" customHeight="false" outlineLevel="0" collapsed="false">
      <c r="A2" s="2" t="s">
        <v>24</v>
      </c>
      <c r="B2" s="2" t="n">
        <v>121566</v>
      </c>
      <c r="C2" s="2" t="n">
        <v>25740</v>
      </c>
      <c r="D2" s="2" t="n">
        <v>4735</v>
      </c>
      <c r="E2" s="2" t="n">
        <v>3411</v>
      </c>
      <c r="F2" s="2" t="n">
        <v>1347</v>
      </c>
      <c r="G2" s="4" t="n">
        <f aca="false">F2/B2</f>
        <v>0.0110804007699521</v>
      </c>
      <c r="H2" s="3" t="n">
        <f aca="false">F2/E2</f>
        <v>0.394898856640281</v>
      </c>
    </row>
    <row r="3" customFormat="false" ht="15" hidden="false" customHeight="false" outlineLevel="0" collapsed="false">
      <c r="A3" s="2" t="s">
        <v>25</v>
      </c>
      <c r="B3" s="2" t="n">
        <v>62156</v>
      </c>
      <c r="C3" s="2" t="n">
        <v>14090</v>
      </c>
      <c r="D3" s="2" t="n">
        <v>2922</v>
      </c>
      <c r="E3" s="2" t="n">
        <v>2203</v>
      </c>
      <c r="F3" s="2" t="n">
        <v>1056</v>
      </c>
      <c r="G3" s="4" t="n">
        <f aca="false">F3/B3</f>
        <v>0.0169895102644958</v>
      </c>
      <c r="H3" s="3" t="n">
        <f aca="false">F3/E3</f>
        <v>0.479346345891966</v>
      </c>
    </row>
    <row r="4" customFormat="false" ht="15" hidden="false" customHeight="false" outlineLevel="0" collapsed="false">
      <c r="A4" s="2" t="s">
        <v>26</v>
      </c>
      <c r="B4" s="2" t="n">
        <v>82362</v>
      </c>
      <c r="C4" s="2" t="n">
        <v>17678</v>
      </c>
      <c r="D4" s="2" t="n">
        <v>3512</v>
      </c>
      <c r="E4" s="2" t="n">
        <v>2515</v>
      </c>
      <c r="F4" s="2" t="n">
        <v>1079</v>
      </c>
      <c r="G4" s="4" t="n">
        <f aca="false">F4/B4</f>
        <v>0.0131007017799471</v>
      </c>
      <c r="H4" s="3" t="n">
        <f aca="false">F4/E4</f>
        <v>0.429025844930418</v>
      </c>
    </row>
    <row r="5" customFormat="false" ht="15" hidden="false" customHeight="false" outlineLevel="0" collapsed="false">
      <c r="A5" s="2" t="s">
        <v>27</v>
      </c>
      <c r="B5" s="2" t="n">
        <v>15535</v>
      </c>
      <c r="C5" s="2" t="n">
        <v>3168</v>
      </c>
      <c r="D5" s="2" t="n">
        <v>565</v>
      </c>
      <c r="E5" s="2" t="n">
        <v>391</v>
      </c>
      <c r="F5" s="2" t="n">
        <v>153</v>
      </c>
      <c r="G5" s="4" t="n">
        <f aca="false">F5/B5</f>
        <v>0.00984872867718056</v>
      </c>
      <c r="H5" s="3" t="n">
        <f aca="false">F5/E5</f>
        <v>0.391304347826087</v>
      </c>
    </row>
    <row r="6" customFormat="false" ht="15" hidden="false" customHeight="false" outlineLevel="0" collapsed="false">
      <c r="A6" s="2" t="s">
        <v>28</v>
      </c>
      <c r="B6" s="2" t="n">
        <v>51776</v>
      </c>
      <c r="C6" s="2" t="n">
        <v>10589</v>
      </c>
      <c r="D6" s="2" t="n">
        <v>1983</v>
      </c>
      <c r="E6" s="2" t="n">
        <v>1383</v>
      </c>
      <c r="F6" s="2" t="n">
        <v>506</v>
      </c>
      <c r="G6" s="4" t="n">
        <f aca="false">F6/B6</f>
        <v>0.00977286773794808</v>
      </c>
      <c r="H6" s="3" t="n">
        <f aca="false">F6/E6</f>
        <v>0.36587129428778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customFormat="false" ht="15" hidden="false" customHeight="false" outlineLevel="0" collapsed="false">
      <c r="A2" s="5" t="s">
        <v>34</v>
      </c>
      <c r="B2" s="2" t="n">
        <v>16926</v>
      </c>
      <c r="C2" s="2" t="n">
        <v>1</v>
      </c>
      <c r="D2" s="2" t="n">
        <v>705</v>
      </c>
      <c r="E2" s="4" t="n">
        <f aca="false">D2/B2</f>
        <v>0.0416518964906062</v>
      </c>
    </row>
    <row r="3" customFormat="false" ht="15" hidden="false" customHeight="false" outlineLevel="0" collapsed="false">
      <c r="A3" s="5" t="s">
        <v>34</v>
      </c>
      <c r="B3" s="2" t="n">
        <v>16926</v>
      </c>
      <c r="C3" s="2" t="n">
        <v>2</v>
      </c>
      <c r="D3" s="2" t="n">
        <v>316</v>
      </c>
      <c r="E3" s="4" t="n">
        <f aca="false">D3/B3</f>
        <v>0.0186695025404703</v>
      </c>
    </row>
    <row r="4" customFormat="false" ht="15" hidden="false" customHeight="false" outlineLevel="0" collapsed="false">
      <c r="A4" s="5" t="s">
        <v>34</v>
      </c>
      <c r="B4" s="2" t="n">
        <v>16926</v>
      </c>
      <c r="C4" s="2" t="n">
        <v>3</v>
      </c>
      <c r="D4" s="2" t="n">
        <v>204</v>
      </c>
      <c r="E4" s="4" t="n">
        <f aca="false">D4/B4</f>
        <v>0.0120524636653669</v>
      </c>
    </row>
    <row r="5" customFormat="false" ht="15" hidden="false" customHeight="false" outlineLevel="0" collapsed="false">
      <c r="A5" s="5" t="s">
        <v>34</v>
      </c>
      <c r="B5" s="2" t="n">
        <v>16926</v>
      </c>
      <c r="C5" s="2" t="n">
        <v>4</v>
      </c>
      <c r="D5" s="2" t="n">
        <v>201</v>
      </c>
      <c r="E5" s="4" t="n">
        <f aca="false">D5/B5</f>
        <v>0.0118752215526409</v>
      </c>
    </row>
    <row r="6" customFormat="false" ht="15" hidden="false" customHeight="false" outlineLevel="0" collapsed="false">
      <c r="A6" s="5" t="s">
        <v>34</v>
      </c>
      <c r="B6" s="2" t="n">
        <v>16926</v>
      </c>
      <c r="C6" s="2" t="n">
        <v>5</v>
      </c>
      <c r="D6" s="2" t="n">
        <v>171</v>
      </c>
      <c r="E6" s="4" t="n">
        <f aca="false">D6/B6</f>
        <v>0.0101028004253811</v>
      </c>
    </row>
    <row r="7" customFormat="false" ht="15" hidden="false" customHeight="false" outlineLevel="0" collapsed="false">
      <c r="A7" s="5" t="s">
        <v>34</v>
      </c>
      <c r="B7" s="2" t="n">
        <v>16926</v>
      </c>
      <c r="C7" s="2" t="n">
        <v>6</v>
      </c>
      <c r="D7" s="2" t="n">
        <v>108</v>
      </c>
      <c r="E7" s="4" t="n">
        <f aca="false">D7/B7</f>
        <v>0.00638071605813541</v>
      </c>
    </row>
    <row r="8" customFormat="false" ht="15" hidden="false" customHeight="false" outlineLevel="0" collapsed="false">
      <c r="A8" s="5" t="s">
        <v>34</v>
      </c>
      <c r="B8" s="2" t="n">
        <v>16926</v>
      </c>
      <c r="C8" s="2" t="n">
        <v>7</v>
      </c>
      <c r="D8" s="2" t="n">
        <v>42</v>
      </c>
      <c r="E8" s="4" t="n">
        <f aca="false">D8/B8</f>
        <v>0.00248138957816377</v>
      </c>
    </row>
    <row r="9" customFormat="false" ht="15" hidden="false" customHeight="false" outlineLevel="0" collapsed="false">
      <c r="A9" s="5" t="s">
        <v>34</v>
      </c>
      <c r="B9" s="2" t="n">
        <v>16926</v>
      </c>
      <c r="C9" s="2" t="n">
        <v>8</v>
      </c>
      <c r="D9" s="2" t="n">
        <v>26</v>
      </c>
      <c r="E9" s="4" t="n">
        <f aca="false">D9/B9</f>
        <v>0.00153609831029186</v>
      </c>
    </row>
    <row r="10" customFormat="false" ht="15" hidden="false" customHeight="false" outlineLevel="0" collapsed="false">
      <c r="A10" s="5" t="s">
        <v>34</v>
      </c>
      <c r="B10" s="2" t="n">
        <v>16926</v>
      </c>
      <c r="C10" s="2" t="n">
        <v>9</v>
      </c>
      <c r="D10" s="2" t="n">
        <v>53</v>
      </c>
      <c r="E10" s="4" t="n">
        <f aca="false">D10/B10</f>
        <v>0.00313127732482571</v>
      </c>
    </row>
    <row r="11" customFormat="false" ht="15" hidden="false" customHeight="false" outlineLevel="0" collapsed="false">
      <c r="A11" s="5" t="s">
        <v>34</v>
      </c>
      <c r="B11" s="2" t="n">
        <v>16926</v>
      </c>
      <c r="C11" s="2" t="n">
        <v>10</v>
      </c>
      <c r="D11" s="2" t="n">
        <v>34</v>
      </c>
      <c r="E11" s="4" t="n">
        <f aca="false">D11/B11</f>
        <v>0.00200874394422782</v>
      </c>
    </row>
    <row r="12" customFormat="false" ht="15" hidden="false" customHeight="false" outlineLevel="0" collapsed="false">
      <c r="A12" s="5" t="s">
        <v>34</v>
      </c>
      <c r="B12" s="2" t="n">
        <v>16926</v>
      </c>
      <c r="C12" s="2" t="n">
        <v>11</v>
      </c>
      <c r="D12" s="2" t="n">
        <v>25</v>
      </c>
      <c r="E12" s="4" t="n">
        <f aca="false">D12/B12</f>
        <v>0.00147701760604986</v>
      </c>
    </row>
    <row r="13" customFormat="false" ht="15" hidden="false" customHeight="false" outlineLevel="0" collapsed="false">
      <c r="A13" s="5" t="s">
        <v>34</v>
      </c>
      <c r="B13" s="2" t="n">
        <v>16926</v>
      </c>
      <c r="C13" s="2" t="n">
        <v>12</v>
      </c>
      <c r="D13" s="2" t="n">
        <v>13</v>
      </c>
      <c r="E13" s="4" t="n">
        <f aca="false">D13/B13</f>
        <v>0.000768049155145929</v>
      </c>
    </row>
    <row r="14" customFormat="false" ht="15" hidden="false" customHeight="false" outlineLevel="0" collapsed="false">
      <c r="A14" s="5" t="s">
        <v>35</v>
      </c>
      <c r="B14" s="2" t="n">
        <v>14544</v>
      </c>
      <c r="C14" s="2" t="n">
        <v>1</v>
      </c>
      <c r="D14" s="2" t="n">
        <v>790</v>
      </c>
      <c r="E14" s="4" t="n">
        <f aca="false">D14/B14</f>
        <v>0.0543179317931793</v>
      </c>
    </row>
    <row r="15" customFormat="false" ht="15" hidden="false" customHeight="false" outlineLevel="0" collapsed="false">
      <c r="A15" s="5" t="s">
        <v>35</v>
      </c>
      <c r="B15" s="2" t="n">
        <v>14544</v>
      </c>
      <c r="C15" s="2" t="n">
        <v>2</v>
      </c>
      <c r="D15" s="2" t="n">
        <v>347</v>
      </c>
      <c r="E15" s="4" t="n">
        <f aca="false">D15/B15</f>
        <v>0.0238586358635864</v>
      </c>
    </row>
    <row r="16" customFormat="false" ht="15" hidden="false" customHeight="false" outlineLevel="0" collapsed="false">
      <c r="A16" s="5" t="s">
        <v>35</v>
      </c>
      <c r="B16" s="2" t="n">
        <v>14544</v>
      </c>
      <c r="C16" s="2" t="n">
        <v>3</v>
      </c>
      <c r="D16" s="2" t="n">
        <v>251</v>
      </c>
      <c r="E16" s="4" t="n">
        <f aca="false">D16/B16</f>
        <v>0.0172579757975798</v>
      </c>
    </row>
    <row r="17" customFormat="false" ht="15" hidden="false" customHeight="false" outlineLevel="0" collapsed="false">
      <c r="A17" s="5" t="s">
        <v>35</v>
      </c>
      <c r="B17" s="2" t="n">
        <v>14544</v>
      </c>
      <c r="C17" s="2" t="n">
        <v>4</v>
      </c>
      <c r="D17" s="2" t="n">
        <v>248</v>
      </c>
      <c r="E17" s="4" t="n">
        <f aca="false">D17/B17</f>
        <v>0.0170517051705171</v>
      </c>
    </row>
    <row r="18" customFormat="false" ht="15" hidden="false" customHeight="false" outlineLevel="0" collapsed="false">
      <c r="A18" s="5" t="s">
        <v>35</v>
      </c>
      <c r="B18" s="2" t="n">
        <v>14544</v>
      </c>
      <c r="C18" s="2" t="n">
        <v>5</v>
      </c>
      <c r="D18" s="2" t="n">
        <v>140</v>
      </c>
      <c r="E18" s="4" t="n">
        <f aca="false">D18/B18</f>
        <v>0.00962596259625963</v>
      </c>
    </row>
    <row r="19" customFormat="false" ht="15" hidden="false" customHeight="false" outlineLevel="0" collapsed="false">
      <c r="A19" s="5" t="s">
        <v>35</v>
      </c>
      <c r="B19" s="2" t="n">
        <v>14544</v>
      </c>
      <c r="C19" s="2" t="n">
        <v>6</v>
      </c>
      <c r="D19" s="2" t="n">
        <v>69</v>
      </c>
      <c r="E19" s="4" t="n">
        <f aca="false">D19/B19</f>
        <v>0.00474422442244224</v>
      </c>
    </row>
    <row r="20" customFormat="false" ht="15" hidden="false" customHeight="false" outlineLevel="0" collapsed="false">
      <c r="A20" s="5" t="s">
        <v>35</v>
      </c>
      <c r="B20" s="2" t="n">
        <v>14544</v>
      </c>
      <c r="C20" s="2" t="n">
        <v>7</v>
      </c>
      <c r="D20" s="2" t="n">
        <v>35</v>
      </c>
      <c r="E20" s="4" t="n">
        <f aca="false">D20/B20</f>
        <v>0.00240649064906491</v>
      </c>
    </row>
    <row r="21" customFormat="false" ht="15" hidden="false" customHeight="false" outlineLevel="0" collapsed="false">
      <c r="A21" s="5" t="s">
        <v>35</v>
      </c>
      <c r="B21" s="2" t="n">
        <v>14544</v>
      </c>
      <c r="C21" s="2" t="n">
        <v>8</v>
      </c>
      <c r="D21" s="2" t="n">
        <v>46</v>
      </c>
      <c r="E21" s="4" t="n">
        <f aca="false">D21/B21</f>
        <v>0.00316281628162816</v>
      </c>
    </row>
    <row r="22" customFormat="false" ht="15" hidden="false" customHeight="false" outlineLevel="0" collapsed="false">
      <c r="A22" s="5" t="s">
        <v>35</v>
      </c>
      <c r="B22" s="2" t="n">
        <v>14544</v>
      </c>
      <c r="C22" s="2" t="n">
        <v>9</v>
      </c>
      <c r="D22" s="2" t="n">
        <v>41</v>
      </c>
      <c r="E22" s="4" t="n">
        <f aca="false">D22/B22</f>
        <v>0.00281903190319032</v>
      </c>
    </row>
    <row r="23" customFormat="false" ht="15" hidden="false" customHeight="false" outlineLevel="0" collapsed="false">
      <c r="A23" s="5" t="s">
        <v>35</v>
      </c>
      <c r="B23" s="2" t="n">
        <v>14544</v>
      </c>
      <c r="C23" s="2" t="n">
        <v>10</v>
      </c>
      <c r="D23" s="2" t="n">
        <v>51</v>
      </c>
      <c r="E23" s="4" t="n">
        <f aca="false">D23/B23</f>
        <v>0.00350660066006601</v>
      </c>
    </row>
    <row r="24" customFormat="false" ht="15" hidden="false" customHeight="false" outlineLevel="0" collapsed="false">
      <c r="A24" s="5" t="s">
        <v>35</v>
      </c>
      <c r="B24" s="2" t="n">
        <v>14544</v>
      </c>
      <c r="C24" s="2" t="n">
        <v>11</v>
      </c>
      <c r="D24" s="2" t="n">
        <v>33</v>
      </c>
      <c r="E24" s="4" t="n">
        <f aca="false">D24/B24</f>
        <v>0.00226897689768977</v>
      </c>
    </row>
    <row r="25" customFormat="false" ht="15" hidden="false" customHeight="false" outlineLevel="0" collapsed="false">
      <c r="A25" s="5" t="s">
        <v>36</v>
      </c>
      <c r="B25" s="2" t="n">
        <v>16585</v>
      </c>
      <c r="C25" s="2" t="n">
        <v>1</v>
      </c>
      <c r="D25" s="2" t="n">
        <v>887</v>
      </c>
      <c r="E25" s="4" t="n">
        <f aca="false">D25/B25</f>
        <v>0.0534820621043111</v>
      </c>
    </row>
    <row r="26" customFormat="false" ht="15" hidden="false" customHeight="false" outlineLevel="0" collapsed="false">
      <c r="A26" s="5" t="s">
        <v>36</v>
      </c>
      <c r="B26" s="2" t="n">
        <v>16585</v>
      </c>
      <c r="C26" s="2" t="n">
        <v>2</v>
      </c>
      <c r="D26" s="2" t="n">
        <v>469</v>
      </c>
      <c r="E26" s="4" t="n">
        <f aca="false">D26/B26</f>
        <v>0.0282785649683449</v>
      </c>
    </row>
    <row r="27" customFormat="false" ht="15" hidden="false" customHeight="false" outlineLevel="0" collapsed="false">
      <c r="A27" s="5" t="s">
        <v>36</v>
      </c>
      <c r="B27" s="2" t="n">
        <v>16585</v>
      </c>
      <c r="C27" s="2" t="n">
        <v>3</v>
      </c>
      <c r="D27" s="2" t="n">
        <v>343</v>
      </c>
      <c r="E27" s="4" t="n">
        <f aca="false">D27/B27</f>
        <v>0.0206813385589388</v>
      </c>
    </row>
    <row r="28" customFormat="false" ht="15" hidden="false" customHeight="false" outlineLevel="0" collapsed="false">
      <c r="A28" s="5" t="s">
        <v>36</v>
      </c>
      <c r="B28" s="2" t="n">
        <v>16585</v>
      </c>
      <c r="C28" s="2" t="n">
        <v>4</v>
      </c>
      <c r="D28" s="2" t="n">
        <v>246</v>
      </c>
      <c r="E28" s="4" t="n">
        <f aca="false">D28/B28</f>
        <v>0.01483268013265</v>
      </c>
    </row>
    <row r="29" customFormat="false" ht="15" hidden="false" customHeight="false" outlineLevel="0" collapsed="false">
      <c r="A29" s="5" t="s">
        <v>36</v>
      </c>
      <c r="B29" s="2" t="n">
        <v>16585</v>
      </c>
      <c r="C29" s="2" t="n">
        <v>5</v>
      </c>
      <c r="D29" s="2" t="n">
        <v>103</v>
      </c>
      <c r="E29" s="4" t="n">
        <f aca="false">D29/B29</f>
        <v>0.00621043111245101</v>
      </c>
    </row>
    <row r="30" customFormat="false" ht="15" hidden="false" customHeight="false" outlineLevel="0" collapsed="false">
      <c r="A30" s="5" t="s">
        <v>36</v>
      </c>
      <c r="B30" s="2" t="n">
        <v>16585</v>
      </c>
      <c r="C30" s="2" t="n">
        <v>6</v>
      </c>
      <c r="D30" s="2" t="n">
        <v>51</v>
      </c>
      <c r="E30" s="4" t="n">
        <f aca="false">D30/B30</f>
        <v>0.00307506783237866</v>
      </c>
    </row>
    <row r="31" customFormat="false" ht="15" hidden="false" customHeight="false" outlineLevel="0" collapsed="false">
      <c r="A31" s="5" t="s">
        <v>36</v>
      </c>
      <c r="B31" s="2" t="n">
        <v>16585</v>
      </c>
      <c r="C31" s="2" t="n">
        <v>7</v>
      </c>
      <c r="D31" s="2" t="n">
        <v>61</v>
      </c>
      <c r="E31" s="4" t="n">
        <f aca="false">D31/B31</f>
        <v>0.00367802230931565</v>
      </c>
    </row>
    <row r="32" customFormat="false" ht="15" hidden="false" customHeight="false" outlineLevel="0" collapsed="false">
      <c r="A32" s="5" t="s">
        <v>36</v>
      </c>
      <c r="B32" s="2" t="n">
        <v>16585</v>
      </c>
      <c r="C32" s="2" t="n">
        <v>8</v>
      </c>
      <c r="D32" s="2" t="n">
        <v>53</v>
      </c>
      <c r="E32" s="4" t="n">
        <f aca="false">D32/B32</f>
        <v>0.00319565872776605</v>
      </c>
    </row>
    <row r="33" customFormat="false" ht="15" hidden="false" customHeight="false" outlineLevel="0" collapsed="false">
      <c r="A33" s="5" t="s">
        <v>36</v>
      </c>
      <c r="B33" s="2" t="n">
        <v>16585</v>
      </c>
      <c r="C33" s="2" t="n">
        <v>9</v>
      </c>
      <c r="D33" s="2" t="n">
        <v>47</v>
      </c>
      <c r="E33" s="4" t="n">
        <f aca="false">D33/B33</f>
        <v>0.00283388604160386</v>
      </c>
    </row>
    <row r="34" customFormat="false" ht="15" hidden="false" customHeight="false" outlineLevel="0" collapsed="false">
      <c r="A34" s="5" t="s">
        <v>36</v>
      </c>
      <c r="B34" s="2" t="n">
        <v>16585</v>
      </c>
      <c r="C34" s="2" t="n">
        <v>10</v>
      </c>
      <c r="D34" s="2" t="n">
        <v>35</v>
      </c>
      <c r="E34" s="4" t="n">
        <f aca="false">D34/B34</f>
        <v>0.00211034066927947</v>
      </c>
    </row>
    <row r="35" customFormat="false" ht="15" hidden="false" customHeight="false" outlineLevel="0" collapsed="false">
      <c r="A35" s="5" t="s">
        <v>37</v>
      </c>
      <c r="B35" s="2" t="n">
        <v>18301</v>
      </c>
      <c r="C35" s="2" t="n">
        <v>1</v>
      </c>
      <c r="D35" s="2" t="n">
        <v>874</v>
      </c>
      <c r="E35" s="4" t="n">
        <f aca="false">D35/B35</f>
        <v>0.0477569531719578</v>
      </c>
    </row>
    <row r="36" customFormat="false" ht="15" hidden="false" customHeight="false" outlineLevel="0" collapsed="false">
      <c r="A36" s="5" t="s">
        <v>37</v>
      </c>
      <c r="B36" s="2" t="n">
        <v>18301</v>
      </c>
      <c r="C36" s="2" t="n">
        <v>2</v>
      </c>
      <c r="D36" s="2" t="n">
        <v>387</v>
      </c>
      <c r="E36" s="4" t="n">
        <f aca="false">D36/B36</f>
        <v>0.0211463854434184</v>
      </c>
    </row>
    <row r="37" customFormat="false" ht="15" hidden="false" customHeight="false" outlineLevel="0" collapsed="false">
      <c r="A37" s="5" t="s">
        <v>37</v>
      </c>
      <c r="B37" s="2" t="n">
        <v>18301</v>
      </c>
      <c r="C37" s="2" t="n">
        <v>3</v>
      </c>
      <c r="D37" s="2" t="n">
        <v>264</v>
      </c>
      <c r="E37" s="4" t="n">
        <f aca="false">D37/B37</f>
        <v>0.0144254412327195</v>
      </c>
    </row>
    <row r="38" customFormat="false" ht="15" hidden="false" customHeight="false" outlineLevel="0" collapsed="false">
      <c r="A38" s="5" t="s">
        <v>37</v>
      </c>
      <c r="B38" s="2" t="n">
        <v>18301</v>
      </c>
      <c r="C38" s="2" t="n">
        <v>4</v>
      </c>
      <c r="D38" s="2" t="n">
        <v>110</v>
      </c>
      <c r="E38" s="4" t="n">
        <f aca="false">D38/B38</f>
        <v>0.00601060051363314</v>
      </c>
    </row>
    <row r="39" customFormat="false" ht="15" hidden="false" customHeight="false" outlineLevel="0" collapsed="false">
      <c r="A39" s="5" t="s">
        <v>37</v>
      </c>
      <c r="B39" s="2" t="n">
        <v>18301</v>
      </c>
      <c r="C39" s="2" t="n">
        <v>5</v>
      </c>
      <c r="D39" s="2" t="n">
        <v>70</v>
      </c>
      <c r="E39" s="4" t="n">
        <f aca="false">D39/B39</f>
        <v>0.00382492759958472</v>
      </c>
    </row>
    <row r="40" customFormat="false" ht="15" hidden="false" customHeight="false" outlineLevel="0" collapsed="false">
      <c r="A40" s="5" t="s">
        <v>37</v>
      </c>
      <c r="B40" s="2" t="n">
        <v>18301</v>
      </c>
      <c r="C40" s="2" t="n">
        <v>6</v>
      </c>
      <c r="D40" s="2" t="n">
        <v>81</v>
      </c>
      <c r="E40" s="4" t="n">
        <f aca="false">D40/B40</f>
        <v>0.00442598765094804</v>
      </c>
    </row>
    <row r="41" customFormat="false" ht="15" hidden="false" customHeight="false" outlineLevel="0" collapsed="false">
      <c r="A41" s="5" t="s">
        <v>37</v>
      </c>
      <c r="B41" s="2" t="n">
        <v>18301</v>
      </c>
      <c r="C41" s="2" t="n">
        <v>7</v>
      </c>
      <c r="D41" s="2" t="n">
        <v>70</v>
      </c>
      <c r="E41" s="4" t="n">
        <f aca="false">D41/B41</f>
        <v>0.00382492759958472</v>
      </c>
    </row>
    <row r="42" customFormat="false" ht="15" hidden="false" customHeight="false" outlineLevel="0" collapsed="false">
      <c r="A42" s="5" t="s">
        <v>37</v>
      </c>
      <c r="B42" s="2" t="n">
        <v>18301</v>
      </c>
      <c r="C42" s="2" t="n">
        <v>8</v>
      </c>
      <c r="D42" s="2" t="n">
        <v>57</v>
      </c>
      <c r="E42" s="4" t="n">
        <f aca="false">D42/B42</f>
        <v>0.00311458390251899</v>
      </c>
    </row>
    <row r="43" customFormat="false" ht="15" hidden="false" customHeight="false" outlineLevel="0" collapsed="false">
      <c r="A43" s="5" t="s">
        <v>37</v>
      </c>
      <c r="B43" s="2" t="n">
        <v>18301</v>
      </c>
      <c r="C43" s="2" t="n">
        <v>9</v>
      </c>
      <c r="D43" s="2" t="n">
        <v>45</v>
      </c>
      <c r="E43" s="4" t="n">
        <f aca="false">D43/B43</f>
        <v>0.00245888202830446</v>
      </c>
    </row>
    <row r="44" customFormat="false" ht="15" hidden="false" customHeight="false" outlineLevel="0" collapsed="false">
      <c r="A44" s="5" t="s">
        <v>38</v>
      </c>
      <c r="B44" s="2" t="n">
        <v>21112</v>
      </c>
      <c r="C44" s="2" t="n">
        <v>1</v>
      </c>
      <c r="D44" s="2" t="n">
        <v>1092</v>
      </c>
      <c r="E44" s="4" t="n">
        <f aca="false">D44/B44</f>
        <v>0.0517241379310345</v>
      </c>
    </row>
    <row r="45" customFormat="false" ht="15" hidden="false" customHeight="false" outlineLevel="0" collapsed="false">
      <c r="A45" s="5" t="s">
        <v>38</v>
      </c>
      <c r="B45" s="2" t="n">
        <v>21112</v>
      </c>
      <c r="C45" s="2" t="n">
        <v>2</v>
      </c>
      <c r="D45" s="2" t="n">
        <v>453</v>
      </c>
      <c r="E45" s="4" t="n">
        <f aca="false">D45/B45</f>
        <v>0.0214569912845775</v>
      </c>
    </row>
    <row r="46" customFormat="false" ht="15" hidden="false" customHeight="false" outlineLevel="0" collapsed="false">
      <c r="A46" s="5" t="s">
        <v>38</v>
      </c>
      <c r="B46" s="2" t="n">
        <v>21112</v>
      </c>
      <c r="C46" s="2" t="n">
        <v>3</v>
      </c>
      <c r="D46" s="2" t="n">
        <v>159</v>
      </c>
      <c r="E46" s="4" t="n">
        <f aca="false">D46/B46</f>
        <v>0.00753126184160667</v>
      </c>
    </row>
    <row r="47" customFormat="false" ht="15" hidden="false" customHeight="false" outlineLevel="0" collapsed="false">
      <c r="A47" s="5" t="s">
        <v>38</v>
      </c>
      <c r="B47" s="2" t="n">
        <v>21112</v>
      </c>
      <c r="C47" s="2" t="n">
        <v>4</v>
      </c>
      <c r="D47" s="2" t="n">
        <v>120</v>
      </c>
      <c r="E47" s="4" t="n">
        <f aca="false">D47/B47</f>
        <v>0.00568397120121258</v>
      </c>
    </row>
    <row r="48" customFormat="false" ht="15" hidden="false" customHeight="false" outlineLevel="0" collapsed="false">
      <c r="A48" s="5" t="s">
        <v>38</v>
      </c>
      <c r="B48" s="2" t="n">
        <v>21112</v>
      </c>
      <c r="C48" s="2" t="n">
        <v>5</v>
      </c>
      <c r="D48" s="2" t="n">
        <v>121</v>
      </c>
      <c r="E48" s="4" t="n">
        <f aca="false">D48/B48</f>
        <v>0.00573133762788935</v>
      </c>
    </row>
    <row r="49" customFormat="false" ht="15" hidden="false" customHeight="false" outlineLevel="0" collapsed="false">
      <c r="A49" s="5" t="s">
        <v>38</v>
      </c>
      <c r="B49" s="2" t="n">
        <v>21112</v>
      </c>
      <c r="C49" s="2" t="n">
        <v>6</v>
      </c>
      <c r="D49" s="2" t="n">
        <v>95</v>
      </c>
      <c r="E49" s="4" t="n">
        <f aca="false">D49/B49</f>
        <v>0.00449981053429329</v>
      </c>
    </row>
    <row r="50" customFormat="false" ht="15" hidden="false" customHeight="false" outlineLevel="0" collapsed="false">
      <c r="A50" s="5" t="s">
        <v>38</v>
      </c>
      <c r="B50" s="2" t="n">
        <v>21112</v>
      </c>
      <c r="C50" s="2" t="n">
        <v>7</v>
      </c>
      <c r="D50" s="2" t="n">
        <v>68</v>
      </c>
      <c r="E50" s="4" t="n">
        <f aca="false">D50/B50</f>
        <v>0.00322091701402046</v>
      </c>
    </row>
    <row r="51" customFormat="false" ht="15" hidden="false" customHeight="false" outlineLevel="0" collapsed="false">
      <c r="A51" s="5" t="s">
        <v>38</v>
      </c>
      <c r="B51" s="2" t="n">
        <v>21112</v>
      </c>
      <c r="C51" s="2" t="n">
        <v>8</v>
      </c>
      <c r="D51" s="2" t="n">
        <v>75</v>
      </c>
      <c r="E51" s="4" t="n">
        <f aca="false">D51/B51</f>
        <v>0.00355248200075786</v>
      </c>
    </row>
    <row r="52" customFormat="false" ht="15" hidden="false" customHeight="false" outlineLevel="0" collapsed="false">
      <c r="A52" s="5" t="s">
        <v>39</v>
      </c>
      <c r="B52" s="2" t="n">
        <v>27094</v>
      </c>
      <c r="C52" s="2" t="n">
        <v>1</v>
      </c>
      <c r="D52" s="2" t="n">
        <v>905</v>
      </c>
      <c r="E52" s="4" t="n">
        <f aca="false">D52/B52</f>
        <v>0.0334022292758544</v>
      </c>
    </row>
    <row r="53" customFormat="false" ht="15" hidden="false" customHeight="false" outlineLevel="0" collapsed="false">
      <c r="A53" s="5" t="s">
        <v>39</v>
      </c>
      <c r="B53" s="2" t="n">
        <v>27094</v>
      </c>
      <c r="C53" s="2" t="n">
        <v>2</v>
      </c>
      <c r="D53" s="2" t="n">
        <v>258</v>
      </c>
      <c r="E53" s="4" t="n">
        <f aca="false">D53/B53</f>
        <v>0.00952240348416624</v>
      </c>
    </row>
    <row r="54" customFormat="false" ht="15" hidden="false" customHeight="false" outlineLevel="0" collapsed="false">
      <c r="A54" s="5" t="s">
        <v>39</v>
      </c>
      <c r="B54" s="2" t="n">
        <v>27094</v>
      </c>
      <c r="C54" s="2" t="n">
        <v>3</v>
      </c>
      <c r="D54" s="2" t="n">
        <v>161</v>
      </c>
      <c r="E54" s="4" t="n">
        <f aca="false">D54/B54</f>
        <v>0.00594227504244482</v>
      </c>
    </row>
    <row r="55" customFormat="false" ht="15" hidden="false" customHeight="false" outlineLevel="0" collapsed="false">
      <c r="A55" s="5" t="s">
        <v>39</v>
      </c>
      <c r="B55" s="2" t="n">
        <v>27094</v>
      </c>
      <c r="C55" s="2" t="n">
        <v>4</v>
      </c>
      <c r="D55" s="2" t="n">
        <v>269</v>
      </c>
      <c r="E55" s="4" t="n">
        <f aca="false">D55/B55</f>
        <v>0.00992839743116557</v>
      </c>
    </row>
    <row r="56" customFormat="false" ht="15" hidden="false" customHeight="false" outlineLevel="0" collapsed="false">
      <c r="A56" s="5" t="s">
        <v>39</v>
      </c>
      <c r="B56" s="2" t="n">
        <v>27094</v>
      </c>
      <c r="C56" s="2" t="n">
        <v>5</v>
      </c>
      <c r="D56" s="2" t="n">
        <v>151</v>
      </c>
      <c r="E56" s="4" t="n">
        <f aca="false">D56/B56</f>
        <v>0.00557318963608179</v>
      </c>
    </row>
    <row r="57" customFormat="false" ht="15" hidden="false" customHeight="false" outlineLevel="0" collapsed="false">
      <c r="A57" s="5" t="s">
        <v>39</v>
      </c>
      <c r="B57" s="2" t="n">
        <v>27094</v>
      </c>
      <c r="C57" s="2" t="n">
        <v>6</v>
      </c>
      <c r="D57" s="2" t="n">
        <v>92</v>
      </c>
      <c r="E57" s="4" t="n">
        <f aca="false">D57/B57</f>
        <v>0.0033955857385399</v>
      </c>
    </row>
    <row r="58" customFormat="false" ht="15" hidden="false" customHeight="false" outlineLevel="0" collapsed="false">
      <c r="A58" s="5" t="s">
        <v>39</v>
      </c>
      <c r="B58" s="2" t="n">
        <v>27094</v>
      </c>
      <c r="C58" s="2" t="n">
        <v>7</v>
      </c>
      <c r="D58" s="2" t="n">
        <v>86</v>
      </c>
      <c r="E58" s="4" t="n">
        <f aca="false">D58/B58</f>
        <v>0.00317413449472208</v>
      </c>
    </row>
    <row r="59" customFormat="false" ht="15" hidden="false" customHeight="false" outlineLevel="0" collapsed="false">
      <c r="A59" s="5" t="s">
        <v>40</v>
      </c>
      <c r="B59" s="2" t="n">
        <v>24526</v>
      </c>
      <c r="C59" s="2" t="n">
        <v>1</v>
      </c>
      <c r="D59" s="2" t="n">
        <v>692</v>
      </c>
      <c r="E59" s="4" t="n">
        <f aca="false">D59/B59</f>
        <v>0.0282149555573677</v>
      </c>
    </row>
    <row r="60" customFormat="false" ht="15" hidden="false" customHeight="false" outlineLevel="0" collapsed="false">
      <c r="A60" s="5" t="s">
        <v>40</v>
      </c>
      <c r="B60" s="2" t="n">
        <v>24526</v>
      </c>
      <c r="C60" s="2" t="n">
        <v>2</v>
      </c>
      <c r="D60" s="2" t="n">
        <v>211</v>
      </c>
      <c r="E60" s="4" t="n">
        <f aca="false">D60/B60</f>
        <v>0.00860311506156732</v>
      </c>
    </row>
    <row r="61" customFormat="false" ht="15" hidden="false" customHeight="false" outlineLevel="0" collapsed="false">
      <c r="A61" s="5" t="s">
        <v>40</v>
      </c>
      <c r="B61" s="2" t="n">
        <v>24526</v>
      </c>
      <c r="C61" s="2" t="n">
        <v>3</v>
      </c>
      <c r="D61" s="2" t="n">
        <v>277</v>
      </c>
      <c r="E61" s="4" t="n">
        <f aca="false">D61/B61</f>
        <v>0.0112941368343798</v>
      </c>
    </row>
    <row r="62" customFormat="false" ht="15" hidden="false" customHeight="false" outlineLevel="0" collapsed="false">
      <c r="A62" s="5" t="s">
        <v>40</v>
      </c>
      <c r="B62" s="2" t="n">
        <v>24526</v>
      </c>
      <c r="C62" s="2" t="n">
        <v>4</v>
      </c>
      <c r="D62" s="2" t="n">
        <v>208</v>
      </c>
      <c r="E62" s="4" t="n">
        <f aca="false">D62/B62</f>
        <v>0.00848079589007584</v>
      </c>
    </row>
    <row r="63" customFormat="false" ht="15" hidden="false" customHeight="false" outlineLevel="0" collapsed="false">
      <c r="A63" s="5" t="s">
        <v>40</v>
      </c>
      <c r="B63" s="2" t="n">
        <v>24526</v>
      </c>
      <c r="C63" s="2" t="n">
        <v>5</v>
      </c>
      <c r="D63" s="2" t="n">
        <v>126</v>
      </c>
      <c r="E63" s="4" t="n">
        <f aca="false">D63/B63</f>
        <v>0.00513740520264209</v>
      </c>
    </row>
    <row r="64" customFormat="false" ht="15" hidden="false" customHeight="false" outlineLevel="0" collapsed="false">
      <c r="A64" s="5" t="s">
        <v>40</v>
      </c>
      <c r="B64" s="2" t="n">
        <v>24526</v>
      </c>
      <c r="C64" s="2" t="n">
        <v>6</v>
      </c>
      <c r="D64" s="2" t="n">
        <v>113</v>
      </c>
      <c r="E64" s="4" t="n">
        <f aca="false">D64/B64</f>
        <v>0.00460735545951235</v>
      </c>
    </row>
    <row r="65" customFormat="false" ht="15" hidden="false" customHeight="false" outlineLevel="0" collapsed="false">
      <c r="A65" s="5" t="s">
        <v>41</v>
      </c>
      <c r="B65" s="2" t="n">
        <v>17397</v>
      </c>
      <c r="C65" s="2" t="n">
        <v>1</v>
      </c>
      <c r="D65" s="2" t="n">
        <v>418</v>
      </c>
      <c r="E65" s="4" t="n">
        <f aca="false">D65/B65</f>
        <v>0.02402713111456</v>
      </c>
    </row>
    <row r="66" customFormat="false" ht="15" hidden="false" customHeight="false" outlineLevel="0" collapsed="false">
      <c r="A66" s="5" t="s">
        <v>41</v>
      </c>
      <c r="B66" s="2" t="n">
        <v>17397</v>
      </c>
      <c r="C66" s="2" t="n">
        <v>2</v>
      </c>
      <c r="D66" s="2" t="n">
        <v>201</v>
      </c>
      <c r="E66" s="4" t="n">
        <f aca="false">D66/B66</f>
        <v>0.0115537161579583</v>
      </c>
    </row>
    <row r="67" customFormat="false" ht="15" hidden="false" customHeight="false" outlineLevel="0" collapsed="false">
      <c r="A67" s="5" t="s">
        <v>41</v>
      </c>
      <c r="B67" s="2" t="n">
        <v>17397</v>
      </c>
      <c r="C67" s="2" t="n">
        <v>3</v>
      </c>
      <c r="D67" s="2" t="n">
        <v>160</v>
      </c>
      <c r="E67" s="4" t="n">
        <f aca="false">D67/B67</f>
        <v>0.00919698798643444</v>
      </c>
    </row>
    <row r="68" customFormat="false" ht="15" hidden="false" customHeight="false" outlineLevel="0" collapsed="false">
      <c r="A68" s="5" t="s">
        <v>41</v>
      </c>
      <c r="B68" s="2" t="n">
        <v>17397</v>
      </c>
      <c r="C68" s="2" t="n">
        <v>4</v>
      </c>
      <c r="D68" s="2" t="n">
        <v>95</v>
      </c>
      <c r="E68" s="4" t="n">
        <f aca="false">D68/B68</f>
        <v>0.00546071161694545</v>
      </c>
    </row>
    <row r="69" customFormat="false" ht="15" hidden="false" customHeight="false" outlineLevel="0" collapsed="false">
      <c r="A69" s="5" t="s">
        <v>41</v>
      </c>
      <c r="B69" s="2" t="n">
        <v>17397</v>
      </c>
      <c r="C69" s="2" t="n">
        <v>5</v>
      </c>
      <c r="D69" s="2" t="n">
        <v>64</v>
      </c>
      <c r="E69" s="4" t="n">
        <f aca="false">D69/B69</f>
        <v>0.00367879519457378</v>
      </c>
    </row>
    <row r="70" customFormat="false" ht="15" hidden="false" customHeight="false" outlineLevel="0" collapsed="false">
      <c r="A70" s="5" t="s">
        <v>42</v>
      </c>
      <c r="B70" s="2" t="n">
        <v>16224</v>
      </c>
      <c r="C70" s="2" t="n">
        <v>1</v>
      </c>
      <c r="D70" s="2" t="n">
        <v>401</v>
      </c>
      <c r="E70" s="4" t="n">
        <f aca="false">D70/B70</f>
        <v>0.0247164694280079</v>
      </c>
    </row>
    <row r="71" customFormat="false" ht="15" hidden="false" customHeight="false" outlineLevel="0" collapsed="false">
      <c r="A71" s="5" t="s">
        <v>42</v>
      </c>
      <c r="B71" s="2" t="n">
        <v>16224</v>
      </c>
      <c r="C71" s="2" t="n">
        <v>2</v>
      </c>
      <c r="D71" s="2" t="n">
        <v>144</v>
      </c>
      <c r="E71" s="4" t="n">
        <f aca="false">D71/B71</f>
        <v>0.00887573964497041</v>
      </c>
    </row>
    <row r="72" customFormat="false" ht="15" hidden="false" customHeight="false" outlineLevel="0" collapsed="false">
      <c r="A72" s="5" t="s">
        <v>42</v>
      </c>
      <c r="B72" s="2" t="n">
        <v>16224</v>
      </c>
      <c r="C72" s="2" t="n">
        <v>3</v>
      </c>
      <c r="D72" s="2" t="n">
        <v>86</v>
      </c>
      <c r="E72" s="4" t="n">
        <f aca="false">D72/B72</f>
        <v>0.00530078895463511</v>
      </c>
    </row>
    <row r="73" customFormat="false" ht="15" hidden="false" customHeight="false" outlineLevel="0" collapsed="false">
      <c r="A73" s="5" t="s">
        <v>42</v>
      </c>
      <c r="B73" s="2" t="n">
        <v>16224</v>
      </c>
      <c r="C73" s="2" t="n">
        <v>4</v>
      </c>
      <c r="D73" s="2" t="n">
        <v>82</v>
      </c>
      <c r="E73" s="4" t="n">
        <f aca="false">D73/B73</f>
        <v>0.00505424063116371</v>
      </c>
    </row>
    <row r="74" customFormat="false" ht="15" hidden="false" customHeight="false" outlineLevel="0" collapsed="false">
      <c r="A74" s="5" t="s">
        <v>43</v>
      </c>
      <c r="B74" s="2" t="n">
        <v>22320</v>
      </c>
      <c r="C74" s="2" t="n">
        <v>1</v>
      </c>
      <c r="D74" s="2" t="n">
        <v>710</v>
      </c>
      <c r="E74" s="4" t="n">
        <f aca="false">D74/B74</f>
        <v>0.0318100358422939</v>
      </c>
    </row>
    <row r="75" customFormat="false" ht="15" hidden="false" customHeight="false" outlineLevel="0" collapsed="false">
      <c r="A75" s="5" t="s">
        <v>43</v>
      </c>
      <c r="B75" s="2" t="n">
        <v>22320</v>
      </c>
      <c r="C75" s="2" t="n">
        <v>2</v>
      </c>
      <c r="D75" s="2" t="n">
        <v>281</v>
      </c>
      <c r="E75" s="4" t="n">
        <f aca="false">D75/B75</f>
        <v>0.012589605734767</v>
      </c>
    </row>
    <row r="76" customFormat="false" ht="15" hidden="false" customHeight="false" outlineLevel="0" collapsed="false">
      <c r="A76" s="5" t="s">
        <v>43</v>
      </c>
      <c r="B76" s="2" t="n">
        <v>22320</v>
      </c>
      <c r="C76" s="2" t="n">
        <v>3</v>
      </c>
      <c r="D76" s="2" t="n">
        <v>167</v>
      </c>
      <c r="E76" s="4" t="n">
        <f aca="false">D76/B76</f>
        <v>0.0074820788530466</v>
      </c>
    </row>
    <row r="77" customFormat="false" ht="15" hidden="false" customHeight="false" outlineLevel="0" collapsed="false">
      <c r="A77" s="5" t="s">
        <v>44</v>
      </c>
      <c r="B77" s="2" t="n">
        <v>21026</v>
      </c>
      <c r="C77" s="2" t="n">
        <v>1</v>
      </c>
      <c r="D77" s="2" t="n">
        <v>719</v>
      </c>
      <c r="E77" s="4" t="n">
        <f aca="false">D77/B77</f>
        <v>0.0341957576334063</v>
      </c>
    </row>
    <row r="78" customFormat="false" ht="15" hidden="false" customHeight="false" outlineLevel="0" collapsed="false">
      <c r="A78" s="5" t="s">
        <v>44</v>
      </c>
      <c r="B78" s="2" t="n">
        <v>21026</v>
      </c>
      <c r="C78" s="2" t="n">
        <v>2</v>
      </c>
      <c r="D78" s="2" t="n">
        <v>298</v>
      </c>
      <c r="E78" s="4" t="n">
        <f aca="false">D78/B78</f>
        <v>0.0141729287548749</v>
      </c>
    </row>
    <row r="79" customFormat="false" ht="15" hidden="false" customHeight="false" outlineLevel="0" collapsed="false">
      <c r="A79" s="5" t="s">
        <v>45</v>
      </c>
      <c r="B79" s="2" t="n">
        <v>20319</v>
      </c>
      <c r="C79" s="2" t="n">
        <v>1</v>
      </c>
      <c r="D79" s="2" t="n">
        <v>814</v>
      </c>
      <c r="E79" s="4" t="n">
        <f aca="false">D79/B79</f>
        <v>0.0400610266253261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2" style="0" width="14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</row>
    <row r="2" customFormat="false" ht="15" hidden="false" customHeight="false" outlineLevel="0" collapsed="false">
      <c r="A2" s="2" t="n">
        <v>1</v>
      </c>
      <c r="B2" s="2" t="s">
        <v>50</v>
      </c>
      <c r="C2" s="2" t="n">
        <v>206735</v>
      </c>
      <c r="D2" s="3" t="n">
        <f aca="false">C2/SUM($C$2:$C$5)</f>
        <v>0.771344568855193</v>
      </c>
    </row>
    <row r="3" customFormat="false" ht="15" hidden="false" customHeight="false" outlineLevel="0" collapsed="false">
      <c r="A3" s="2" t="n">
        <v>2</v>
      </c>
      <c r="B3" s="2" t="s">
        <v>51</v>
      </c>
      <c r="C3" s="2" t="n">
        <v>47235</v>
      </c>
      <c r="D3" s="3" t="n">
        <f aca="false">C3/SUM($C$2:$C$5)</f>
        <v>0.17623750554998</v>
      </c>
    </row>
    <row r="4" customFormat="false" ht="15" hidden="false" customHeight="false" outlineLevel="0" collapsed="false">
      <c r="A4" s="2" t="n">
        <v>3</v>
      </c>
      <c r="B4" s="2" t="s">
        <v>52</v>
      </c>
      <c r="C4" s="2" t="n">
        <v>9630</v>
      </c>
      <c r="D4" s="3" t="n">
        <f aca="false">C4/SUM($C$2:$C$5)</f>
        <v>0.035930288524321</v>
      </c>
    </row>
    <row r="5" customFormat="false" ht="15" hidden="false" customHeight="false" outlineLevel="0" collapsed="false">
      <c r="A5" s="2" t="n">
        <v>4</v>
      </c>
      <c r="B5" s="2" t="s">
        <v>53</v>
      </c>
      <c r="C5" s="2" t="n">
        <v>4419</v>
      </c>
      <c r="D5" s="3" t="n">
        <f aca="false">C5/SUM($C$2:$C$5)</f>
        <v>0.0164876370705062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" t="s">
        <v>54</v>
      </c>
    </row>
    <row r="2" customFormat="false" ht="15" hidden="false" customHeight="false" outlineLevel="0" collapsed="false">
      <c r="A2" s="2" t="s">
        <v>55</v>
      </c>
    </row>
    <row r="3" customFormat="false" ht="15" hidden="false" customHeight="false" outlineLevel="0" collapsed="false">
      <c r="A3" s="2" t="s">
        <v>56</v>
      </c>
    </row>
    <row r="4" customFormat="false" ht="15" hidden="false" customHeight="false" outlineLevel="0" collapsed="false">
      <c r="A4" s="2" t="s">
        <v>57</v>
      </c>
    </row>
    <row r="5" customFormat="false" ht="15" hidden="false" customHeight="false" outlineLevel="0" collapsed="false">
      <c r="A5" s="2" t="s">
        <v>58</v>
      </c>
    </row>
    <row r="6" customFormat="false" ht="15" hidden="false" customHeight="false" outlineLevel="0" collapsed="false">
      <c r="A6" s="2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2026-10-06T00:32:55Z</dcterms:created>
  <dc:creator>openpyxl</dc:creator>
  <dc:description/>
  <dc:language>en-US</dc:language>
  <cp:lastModifiedBy/>
  <dcterms:modified xsi:type="dcterms:W3CDTF">2026-10-06T00:32:55Z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